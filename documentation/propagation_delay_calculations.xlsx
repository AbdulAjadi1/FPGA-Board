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ick\Desktop\fpga-board_12_01\documentation\"/>
    </mc:Choice>
  </mc:AlternateContent>
  <xr:revisionPtr revIDLastSave="0" documentId="13_ncr:1_{496775C8-B349-43FA-9C68-1D7E963E01A3}" xr6:coauthVersionLast="47" xr6:coauthVersionMax="47" xr10:uidLastSave="{00000000-0000-0000-0000-000000000000}"/>
  <bookViews>
    <workbookView xWindow="-120" yWindow="-120" windowWidth="29040" windowHeight="15840" xr2:uid="{B15E12E6-09D2-4C21-9812-37D5F9F9D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11" i="1"/>
  <c r="I15" i="1"/>
  <c r="I9" i="1"/>
  <c r="H11" i="1"/>
  <c r="H9" i="1"/>
  <c r="K5" i="1"/>
  <c r="K3" i="1"/>
  <c r="J5" i="1"/>
  <c r="H5" i="1"/>
  <c r="I3" i="1" s="1"/>
  <c r="H3" i="1"/>
</calcChain>
</file>

<file path=xl/sharedStrings.xml><?xml version="1.0" encoding="utf-8"?>
<sst xmlns="http://schemas.openxmlformats.org/spreadsheetml/2006/main" count="32" uniqueCount="30">
  <si>
    <t>Target layer</t>
  </si>
  <si>
    <t>Vertical distance from L1 center (mm)</t>
  </si>
  <si>
    <t>Via delay (ps)</t>
  </si>
  <si>
    <t>L2 (GND1)</t>
  </si>
  <si>
    <t>0.1015 mm</t>
  </si>
  <si>
    <t>L3 (PWR)</t>
  </si>
  <si>
    <t>0.2167 mm</t>
  </si>
  <si>
    <t>L4 (SIGNAL1)</t>
  </si>
  <si>
    <t>0.7367 mm</t>
  </si>
  <si>
    <t>L5 (GND2)</t>
  </si>
  <si>
    <t>0.8519 mm</t>
  </si>
  <si>
    <t>L6 (SIGNAL2)</t>
  </si>
  <si>
    <t>1.3719 mm</t>
  </si>
  <si>
    <t>L7 (GND3)</t>
  </si>
  <si>
    <t>1.4871 mm</t>
  </si>
  <si>
    <t>L8 (B.Cu)</t>
  </si>
  <si>
    <t>1.5886 mm</t>
  </si>
  <si>
    <t>microstrip delay(ps/mm)</t>
  </si>
  <si>
    <t>stripline delay(ps/mm)</t>
  </si>
  <si>
    <t>total delay (ps)</t>
  </si>
  <si>
    <t>length master ck (mm)</t>
  </si>
  <si>
    <t>length DQS1 (mm)</t>
  </si>
  <si>
    <t>length DQS0 (mm)</t>
  </si>
  <si>
    <t>length ddr3_d8-d15(all layer 1 fcu) (mm)</t>
  </si>
  <si>
    <t>length ddr3_d0-7(layer 4) (mm)</t>
  </si>
  <si>
    <t>length ddr3_d0-7(layer 8) (mm)</t>
  </si>
  <si>
    <t>length ACC Layer 1(mm)</t>
  </si>
  <si>
    <t>length ACC Layer 4(mm)</t>
  </si>
  <si>
    <t>length ACC Layer 6(mm)</t>
  </si>
  <si>
    <t>length ACC Layer 8(mm)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</si>
</sst>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209550</xdr:colOff>
      <xdr:row>5</xdr:row>
      <xdr:rowOff>204787</xdr:rowOff>
    </xdr:from>
    <xdr:ext cx="1226361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FC54DEE-D98D-382D-F76C-4827840902A0}"/>
                </a:ext>
              </a:extLst>
            </xdr:cNvPr>
            <xdr:cNvSpPr txBox="1"/>
          </xdr:nvSpPr>
          <xdr:spPr>
            <a:xfrm>
              <a:off x="6162675" y="2681287"/>
              <a:ext cx="12263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a:fld id="{825F15A7-03F4-43D7-82C5-3E23DA2F108C}" type="mathplaceholder">
                      <a:rPr lang="en-US" sz="1100" i="1">
                        <a:latin typeface="Cambria Math" panose="02040503050406030204" pitchFamily="18" charset="0"/>
                      </a:rPr>
                      <a:t>Type equation here.</a:t>
                    </a:fld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FC54DEE-D98D-382D-F76C-4827840902A0}"/>
                </a:ext>
              </a:extLst>
            </xdr:cNvPr>
            <xdr:cNvSpPr txBox="1"/>
          </xdr:nvSpPr>
          <xdr:spPr>
            <a:xfrm>
              <a:off x="6162675" y="2681287"/>
              <a:ext cx="122636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"Type equation here."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1419225</xdr:colOff>
      <xdr:row>0</xdr:row>
      <xdr:rowOff>233362</xdr:rowOff>
    </xdr:from>
    <xdr:ext cx="1244508" cy="26520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1AFCCC1-884F-55D2-EEDD-1FD79A47BBD3}"/>
                </a:ext>
              </a:extLst>
            </xdr:cNvPr>
            <xdr:cNvSpPr txBox="1"/>
          </xdr:nvSpPr>
          <xdr:spPr>
            <a:xfrm>
              <a:off x="10344150" y="233362"/>
              <a:ext cx="1244508" cy="2652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b="0"/>
                <a:t>T=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6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𝑣</m:t>
                      </m:r>
                    </m:e>
                    <m:sub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𝑝𝑑</m:t>
                      </m:r>
                    </m:sub>
                  </m:sSub>
                  <m:sSub>
                    <m:sSubPr>
                      <m:ctrlPr>
                        <a:rPr lang="en-US" sz="16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US" sz="1600" b="0" i="1">
                          <a:latin typeface="Cambria Math" panose="02040503050406030204" pitchFamily="18" charset="0"/>
                        </a:rPr>
                        <m:t>+</m:t>
                      </m:r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𝑡</m:t>
                      </m:r>
                    </m:e>
                    <m:sub>
                      <m:r>
                        <a:rPr lang="en-US" sz="1600" b="0" i="1">
                          <a:latin typeface="Cambria Math" panose="02040503050406030204" pitchFamily="18" charset="0"/>
                        </a:rPr>
                        <m:t>𝑝𝑑</m:t>
                      </m:r>
                    </m:sub>
                  </m:sSub>
                  <m:r>
                    <a:rPr lang="en-US" sz="1600" b="0" i="1">
                      <a:latin typeface="Cambria Math" panose="02040503050406030204" pitchFamily="18" charset="0"/>
                    </a:rPr>
                    <m:t>∗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𝐿</m:t>
                  </m:r>
                </m:oMath>
              </a14:m>
              <a:endParaRPr lang="en-US" sz="16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1AFCCC1-884F-55D2-EEDD-1FD79A47BBD3}"/>
                </a:ext>
              </a:extLst>
            </xdr:cNvPr>
            <xdr:cNvSpPr txBox="1"/>
          </xdr:nvSpPr>
          <xdr:spPr>
            <a:xfrm>
              <a:off x="10344150" y="233362"/>
              <a:ext cx="1244508" cy="26520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600" b="0"/>
                <a:t>T=</a:t>
              </a:r>
              <a:r>
                <a:rPr lang="en-US" sz="1600" b="0" i="0">
                  <a:latin typeface="Cambria Math" panose="02040503050406030204" pitchFamily="18" charset="0"/>
                </a:rPr>
                <a:t>𝑣_𝑝𝑑 〖+𝑡〗_𝑝𝑑∗𝐿</a:t>
              </a:r>
              <a:endParaRPr lang="en-US" sz="1600"/>
            </a:p>
          </xdr:txBody>
        </xdr:sp>
      </mc:Fallback>
    </mc:AlternateContent>
    <xdr:clientData/>
  </xdr:oneCellAnchor>
  <xdr:oneCellAnchor>
    <xdr:from>
      <xdr:col>7</xdr:col>
      <xdr:colOff>28575</xdr:colOff>
      <xdr:row>0</xdr:row>
      <xdr:rowOff>42862</xdr:rowOff>
    </xdr:from>
    <xdr:ext cx="3739165" cy="102765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5443952-C049-92E3-54FD-830338A23B98}"/>
                </a:ext>
              </a:extLst>
            </xdr:cNvPr>
            <xdr:cNvSpPr txBox="1"/>
          </xdr:nvSpPr>
          <xdr:spPr>
            <a:xfrm>
              <a:off x="5981700" y="42862"/>
              <a:ext cx="3739165" cy="10276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600" b="0" i="1">
                        <a:latin typeface="Cambria Math" panose="02040503050406030204" pitchFamily="18" charset="0"/>
                      </a:rPr>
                      <m:t>𝑇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𝑇𝑜𝑡𝑎𝑙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600" b="0" i="1">
                        <a:latin typeface="Cambria Math" panose="02040503050406030204" pitchFamily="18" charset="0"/>
                      </a:rPr>
                      <m:t>𝑑𝑒𝑙𝑎𝑦</m:t>
                    </m:r>
                  </m:oMath>
                </m:oMathPara>
              </a14:m>
              <a:br>
                <a:rPr lang="en-US" sz="1600" b="0" i="1">
                  <a:latin typeface="Cambria Math" panose="02040503050406030204" pitchFamily="18" charset="0"/>
                </a:rPr>
              </a:br>
              <a14:m>
                <m:oMath xmlns:m="http://schemas.openxmlformats.org/officeDocument/2006/math">
                  <m:r>
                    <a:rPr lang="en-US" sz="1600" b="0" i="1">
                      <a:latin typeface="Cambria Math" panose="02040503050406030204" pitchFamily="18" charset="0"/>
                    </a:rPr>
                    <m:t> </m:t>
                  </m:r>
                  <m:sSub>
                    <m:sSubPr>
                      <m:ctrlPr>
                        <a:rPr lang="en-US" sz="16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6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𝑣</m:t>
                      </m:r>
                    </m:e>
                    <m:sub>
                      <m:r>
                        <a:rPr lang="en-US" sz="16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𝑝𝑑</m:t>
                      </m:r>
                    </m:sub>
                  </m:sSub>
                </m:oMath>
              </a14:m>
              <a:r>
                <a:rPr lang="en-US" sz="1600"/>
                <a:t>= Via delay</a:t>
              </a:r>
            </a:p>
            <a:p>
              <a:pPr/>
              <a14:m>
                <m:oMath xmlns:m="http://schemas.openxmlformats.org/officeDocument/2006/math">
                  <m:sSub>
                    <m:sSubPr>
                      <m:ctrlPr>
                        <a:rPr lang="en-US" sz="16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6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𝑡</m:t>
                      </m:r>
                    </m:e>
                    <m:sub>
                      <m:r>
                        <a:rPr lang="en-US" sz="1600" b="0" i="1">
                          <a:solidFill>
                            <a:schemeClr val="tx1"/>
                          </a:solidFill>
                          <a:effectLst/>
                          <a:latin typeface="+mn-lt"/>
                          <a:ea typeface="+mn-ea"/>
                          <a:cs typeface="+mn-cs"/>
                        </a:rPr>
                        <m:t>𝑝𝑑</m:t>
                      </m:r>
                    </m:sub>
                  </m:sSub>
                </m:oMath>
              </a14:m>
              <a:r>
                <a:rPr lang="en-US" sz="1600"/>
                <a:t>= Propagation</a:t>
              </a:r>
              <a:r>
                <a:rPr lang="en-US" sz="1600" baseline="0"/>
                <a:t> delay per mm(layer specific)</a:t>
              </a:r>
            </a:p>
            <a:p>
              <a:pPr/>
              <a:r>
                <a:rPr lang="en-US" sz="1600"/>
                <a:t>L = Length of trace on layer</a:t>
              </a:r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B5443952-C049-92E3-54FD-830338A23B98}"/>
                </a:ext>
              </a:extLst>
            </xdr:cNvPr>
            <xdr:cNvSpPr txBox="1"/>
          </xdr:nvSpPr>
          <xdr:spPr>
            <a:xfrm>
              <a:off x="5981700" y="42862"/>
              <a:ext cx="3739165" cy="10276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600" b="0" i="0">
                  <a:latin typeface="Cambria Math" panose="02040503050406030204" pitchFamily="18" charset="0"/>
                </a:rPr>
                <a:t>𝑇=𝑇𝑜𝑡𝑎𝑙 𝑑𝑒𝑙𝑎𝑦</a:t>
              </a:r>
              <a:br>
                <a:rPr lang="en-US" sz="1600" b="0" i="1">
                  <a:latin typeface="Cambria Math" panose="02040503050406030204" pitchFamily="18" charset="0"/>
                </a:rPr>
              </a:br>
              <a:r>
                <a:rPr lang="en-US" sz="1600" b="0" i="0">
                  <a:latin typeface="Cambria Math" panose="02040503050406030204" pitchFamily="18" charset="0"/>
                </a:rPr>
                <a:t> </a:t>
              </a:r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𝑣_𝑝𝑑</a:t>
              </a:r>
              <a:r>
                <a:rPr lang="en-US" sz="1600"/>
                <a:t>= Via delay</a:t>
              </a:r>
            </a:p>
            <a:p>
              <a:pPr/>
              <a:r>
                <a:rPr lang="en-US" sz="16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𝑡_𝑝𝑑</a:t>
              </a:r>
              <a:r>
                <a:rPr lang="en-US" sz="1600"/>
                <a:t>= Propagation</a:t>
              </a:r>
              <a:r>
                <a:rPr lang="en-US" sz="1600" baseline="0"/>
                <a:t> delay per mm(layer specific)</a:t>
              </a:r>
            </a:p>
            <a:p>
              <a:pPr/>
              <a:r>
                <a:rPr lang="en-US" sz="1600"/>
                <a:t>L = Length of trace on layer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52451-ED32-47A7-B633-8836539B1380}">
  <dimension ref="A1:K15"/>
  <sheetViews>
    <sheetView tabSelected="1" workbookViewId="0">
      <selection activeCell="J12" sqref="J12"/>
    </sheetView>
  </sheetViews>
  <sheetFormatPr defaultRowHeight="15" x14ac:dyDescent="0.25"/>
  <cols>
    <col min="1" max="1" width="26.140625" customWidth="1"/>
    <col min="2" max="4" width="9.140625" customWidth="1"/>
    <col min="5" max="5" width="16.42578125" customWidth="1"/>
    <col min="6" max="6" width="16.85546875" customWidth="1"/>
    <col min="7" max="7" width="2.42578125" customWidth="1"/>
    <col min="8" max="8" width="22.42578125" customWidth="1"/>
    <col min="9" max="9" width="22.140625" customWidth="1"/>
    <col min="10" max="10" width="27.28515625" customWidth="1"/>
    <col min="11" max="11" width="17.28515625" customWidth="1"/>
  </cols>
  <sheetData>
    <row r="1" spans="1:11" ht="75" x14ac:dyDescent="0.25">
      <c r="A1" s="1" t="s">
        <v>0</v>
      </c>
      <c r="B1" s="1" t="s">
        <v>1</v>
      </c>
      <c r="C1" s="1" t="s">
        <v>2</v>
      </c>
      <c r="E1" s="1" t="s">
        <v>17</v>
      </c>
      <c r="F1" s="1" t="s">
        <v>18</v>
      </c>
    </row>
    <row r="2" spans="1:11" ht="30" x14ac:dyDescent="0.25">
      <c r="A2" s="3" t="s">
        <v>3</v>
      </c>
      <c r="B2" s="2" t="s">
        <v>4</v>
      </c>
      <c r="C2" s="2">
        <v>0.71</v>
      </c>
      <c r="E2">
        <v>5.8</v>
      </c>
      <c r="F2">
        <v>7.1</v>
      </c>
      <c r="H2" t="s">
        <v>21</v>
      </c>
      <c r="I2" t="s">
        <v>23</v>
      </c>
      <c r="J2" t="s">
        <v>22</v>
      </c>
      <c r="K2" t="s">
        <v>24</v>
      </c>
    </row>
    <row r="3" spans="1:11" ht="30" x14ac:dyDescent="0.25">
      <c r="A3" s="3" t="s">
        <v>5</v>
      </c>
      <c r="B3" s="2" t="s">
        <v>6</v>
      </c>
      <c r="C3" s="2">
        <v>1.52</v>
      </c>
      <c r="H3">
        <f>23.6595</f>
        <v>23.659500000000001</v>
      </c>
      <c r="I3">
        <f>(H5/E2)</f>
        <v>30.738353448275866</v>
      </c>
      <c r="J3">
        <v>29.848700000000001</v>
      </c>
      <c r="K3">
        <f>(J5-(C4*2))/(F2)</f>
        <v>29.848700000000001</v>
      </c>
    </row>
    <row r="4" spans="1:11" ht="30" x14ac:dyDescent="0.25">
      <c r="A4" s="3" t="s">
        <v>7</v>
      </c>
      <c r="B4" s="2" t="s">
        <v>8</v>
      </c>
      <c r="C4" s="2">
        <v>5.15</v>
      </c>
      <c r="H4" t="s">
        <v>19</v>
      </c>
      <c r="J4" t="s">
        <v>19</v>
      </c>
      <c r="K4" t="s">
        <v>25</v>
      </c>
    </row>
    <row r="5" spans="1:11" ht="30" x14ac:dyDescent="0.25">
      <c r="A5" s="3" t="s">
        <v>9</v>
      </c>
      <c r="B5" s="2" t="s">
        <v>10</v>
      </c>
      <c r="C5" s="2">
        <v>5.96</v>
      </c>
      <c r="H5">
        <f>(C4*2)+((H3)*(F2))</f>
        <v>178.28245000000001</v>
      </c>
      <c r="J5">
        <f>(C4*2)+(J3*F2)</f>
        <v>222.22577000000001</v>
      </c>
      <c r="K5">
        <f>(J5-(C8*2))/E2</f>
        <v>34.480305172413793</v>
      </c>
    </row>
    <row r="6" spans="1:11" ht="30" x14ac:dyDescent="0.25">
      <c r="A6" s="3" t="s">
        <v>11</v>
      </c>
      <c r="B6" s="2" t="s">
        <v>12</v>
      </c>
      <c r="C6" s="2">
        <v>9.6</v>
      </c>
    </row>
    <row r="7" spans="1:11" ht="30" x14ac:dyDescent="0.25">
      <c r="A7" s="3" t="s">
        <v>13</v>
      </c>
      <c r="B7" s="2" t="s">
        <v>14</v>
      </c>
      <c r="C7" s="2">
        <v>10.41</v>
      </c>
    </row>
    <row r="8" spans="1:11" ht="30" x14ac:dyDescent="0.25">
      <c r="A8" s="3" t="s">
        <v>15</v>
      </c>
      <c r="B8" s="2" t="s">
        <v>16</v>
      </c>
      <c r="C8" s="2">
        <v>11.12</v>
      </c>
      <c r="H8" t="s">
        <v>20</v>
      </c>
      <c r="I8" t="s">
        <v>26</v>
      </c>
    </row>
    <row r="9" spans="1:11" x14ac:dyDescent="0.25">
      <c r="H9">
        <f>40.4206+4.5037</f>
        <v>44.924300000000002</v>
      </c>
      <c r="I9">
        <f>H11/E2</f>
        <v>48.758782758620697</v>
      </c>
    </row>
    <row r="10" spans="1:11" x14ac:dyDescent="0.25">
      <c r="H10" t="s">
        <v>19</v>
      </c>
      <c r="I10" t="s">
        <v>27</v>
      </c>
    </row>
    <row r="11" spans="1:11" x14ac:dyDescent="0.25">
      <c r="H11">
        <f>(C8*2)+(E2*H9)</f>
        <v>282.80094000000003</v>
      </c>
      <c r="I11">
        <f>(H11-(C4*2))/F2</f>
        <v>38.380414084507045</v>
      </c>
    </row>
    <row r="12" spans="1:11" x14ac:dyDescent="0.25">
      <c r="I12" t="s">
        <v>28</v>
      </c>
    </row>
    <row r="13" spans="1:11" x14ac:dyDescent="0.25">
      <c r="I13">
        <f>(H11-(C6*2))/F2</f>
        <v>37.126892957746485</v>
      </c>
    </row>
    <row r="14" spans="1:11" x14ac:dyDescent="0.25">
      <c r="I14" t="s">
        <v>29</v>
      </c>
    </row>
    <row r="15" spans="1:11" x14ac:dyDescent="0.25">
      <c r="I15">
        <f>(H11-(C8*2))/E2</f>
        <v>44.924300000000002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Abdulquadir Ajadi</dc:creator>
  <cp:lastModifiedBy>Abdulquadir Ajadi</cp:lastModifiedBy>
  <dcterms:created xsi:type="dcterms:W3CDTF">2025-12-09T01:10:56Z</dcterms:created>
  <dcterms:modified xsi:type="dcterms:W3CDTF">2025-12-09T05:40:12Z</dcterms:modified>
</cp:coreProperties>
</file>